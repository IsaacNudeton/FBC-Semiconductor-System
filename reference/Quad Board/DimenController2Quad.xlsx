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ce\Dropbox\Volt\Quad Board\"/>
    </mc:Choice>
  </mc:AlternateContent>
  <xr:revisionPtr revIDLastSave="0" documentId="13_ncr:1_{F2B49FFB-3FBF-46F3-8F1A-74A59E492505}" xr6:coauthVersionLast="47" xr6:coauthVersionMax="47" xr10:uidLastSave="{00000000-0000-0000-0000-000000000000}"/>
  <bookViews>
    <workbookView xWindow="-110" yWindow="-110" windowWidth="19420" windowHeight="10420" xr2:uid="{8B1261E1-C15C-4D90-926A-C87098E822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7" i="1"/>
  <c r="C9" i="1"/>
  <c r="C11" i="1"/>
  <c r="C12" i="1"/>
  <c r="C3" i="1"/>
  <c r="B5" i="1"/>
  <c r="C5" i="1" l="1"/>
  <c r="B6" i="1"/>
  <c r="C6" i="1" s="1"/>
  <c r="D21" i="1"/>
  <c r="D18" i="1"/>
  <c r="D17" i="1"/>
  <c r="D16" i="1"/>
  <c r="D19" i="1" l="1"/>
  <c r="D20" i="1" s="1"/>
  <c r="B13" i="1"/>
  <c r="C13" i="1" s="1"/>
  <c r="B16" i="1"/>
  <c r="D14" i="1"/>
  <c r="B8" i="1"/>
  <c r="B10" i="1" l="1"/>
  <c r="C10" i="1" s="1"/>
  <c r="C8" i="1"/>
</calcChain>
</file>

<file path=xl/sharedStrings.xml><?xml version="1.0" encoding="utf-8"?>
<sst xmlns="http://schemas.openxmlformats.org/spreadsheetml/2006/main" count="17" uniqueCount="17">
  <si>
    <t>inches</t>
  </si>
  <si>
    <t>mm</t>
  </si>
  <si>
    <t>Distance from Quad to base controller board</t>
  </si>
  <si>
    <t xml:space="preserve">Thickness Controller </t>
  </si>
  <si>
    <t>Mating height controller connector</t>
  </si>
  <si>
    <t>Total height above = distance to BIM</t>
  </si>
  <si>
    <t>Base thickness</t>
  </si>
  <si>
    <t>Height Spacer</t>
  </si>
  <si>
    <t>Washer</t>
  </si>
  <si>
    <t>Height Spacer with .032 washer</t>
  </si>
  <si>
    <t>Washer #2</t>
  </si>
  <si>
    <t>Thick washer</t>
  </si>
  <si>
    <t>Required body length shoulder</t>
  </si>
  <si>
    <t>1/16</t>
  </si>
  <si>
    <t>5/32</t>
  </si>
  <si>
    <t>Needed washer/spacer</t>
  </si>
  <si>
    <t>3/16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</si>
</sst>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4AC2-4599-4970-B493-627B6860C9B1}">
  <dimension ref="A2:F21"/>
  <sheetViews>
    <sheetView tabSelected="1" workbookViewId="0">
      <selection activeCell="C6" sqref="C6"/>
    </sheetView>
  </sheetViews>
  <sheetFormatPr defaultRowHeight="14.45"/>
  <cols>
    <col min="1" max="1" width="38.5703125" bestFit="1" customWidth="1"/>
  </cols>
  <sheetData>
    <row r="2" spans="1:4">
      <c r="B2" t="s">
        <v>0</v>
      </c>
      <c r="C2" t="s">
        <v>1</v>
      </c>
    </row>
    <row r="3" spans="1:4">
      <c r="A3" t="s">
        <v>2</v>
      </c>
      <c r="B3">
        <v>0.43</v>
      </c>
      <c r="C3">
        <f>B3*25.4</f>
        <v>10.921999999999999</v>
      </c>
    </row>
    <row r="4" spans="1:4">
      <c r="A4" t="s">
        <v>3</v>
      </c>
      <c r="B4">
        <v>6.6000000000000003E-2</v>
      </c>
      <c r="C4">
        <f t="shared" ref="C4:C13" si="0">B4*25.4</f>
        <v>1.6763999999999999</v>
      </c>
    </row>
    <row r="5" spans="1:4">
      <c r="A5" t="s">
        <v>4</v>
      </c>
      <c r="B5">
        <f>5/25.5</f>
        <v>0.19607843137254902</v>
      </c>
      <c r="C5">
        <f t="shared" si="0"/>
        <v>4.9803921568627452</v>
      </c>
    </row>
    <row r="6" spans="1:4">
      <c r="A6" t="s">
        <v>5</v>
      </c>
      <c r="B6">
        <f>SUM(B3:B5)</f>
        <v>0.69207843137254899</v>
      </c>
      <c r="C6">
        <f t="shared" si="0"/>
        <v>17.578792156862743</v>
      </c>
    </row>
    <row r="7" spans="1:4">
      <c r="A7" t="s">
        <v>6</v>
      </c>
      <c r="B7">
        <v>0.125</v>
      </c>
      <c r="C7">
        <f t="shared" si="0"/>
        <v>3.1749999999999998</v>
      </c>
    </row>
    <row r="8" spans="1:4">
      <c r="A8" t="s">
        <v>7</v>
      </c>
      <c r="B8">
        <f>B3-B7</f>
        <v>0.30499999999999999</v>
      </c>
      <c r="C8">
        <f t="shared" si="0"/>
        <v>7.746999999999999</v>
      </c>
    </row>
    <row r="9" spans="1:4">
      <c r="A9" t="s">
        <v>8</v>
      </c>
      <c r="B9">
        <v>3.2000000000000001E-2</v>
      </c>
      <c r="C9">
        <f t="shared" si="0"/>
        <v>0.81279999999999997</v>
      </c>
    </row>
    <row r="10" spans="1:4">
      <c r="A10" t="s">
        <v>9</v>
      </c>
      <c r="B10">
        <f>B8-B9</f>
        <v>0.27300000000000002</v>
      </c>
      <c r="C10">
        <f t="shared" si="0"/>
        <v>6.9341999999999997</v>
      </c>
    </row>
    <row r="11" spans="1:4">
      <c r="A11" t="s">
        <v>10</v>
      </c>
      <c r="B11">
        <v>3.2000000000000001E-2</v>
      </c>
      <c r="C11">
        <f t="shared" si="0"/>
        <v>0.81279999999999997</v>
      </c>
    </row>
    <row r="12" spans="1:4">
      <c r="A12" t="s">
        <v>11</v>
      </c>
      <c r="B12">
        <v>6.2E-2</v>
      </c>
      <c r="C12">
        <f t="shared" si="0"/>
        <v>1.5748</v>
      </c>
      <c r="D12">
        <v>0.375</v>
      </c>
    </row>
    <row r="13" spans="1:4">
      <c r="A13" t="s">
        <v>12</v>
      </c>
      <c r="B13">
        <f>B3-B7+B9+B12</f>
        <v>0.39899999999999997</v>
      </c>
      <c r="C13">
        <f t="shared" si="0"/>
        <v>10.134599999999999</v>
      </c>
      <c r="D13">
        <v>0.15</v>
      </c>
    </row>
    <row r="14" spans="1:4">
      <c r="D14">
        <f>D12-D13</f>
        <v>0.22500000000000001</v>
      </c>
    </row>
    <row r="16" spans="1:4">
      <c r="B16">
        <f>0.531-0.187</f>
        <v>0.34400000000000003</v>
      </c>
      <c r="D16">
        <f>0.1875+0.156</f>
        <v>0.34350000000000003</v>
      </c>
    </row>
    <row r="17" spans="4:6">
      <c r="D17">
        <f>1/16</f>
        <v>6.25E-2</v>
      </c>
      <c r="E17" s="1" t="s">
        <v>13</v>
      </c>
    </row>
    <row r="18" spans="4:6">
      <c r="D18">
        <f>5/32</f>
        <v>0.15625</v>
      </c>
      <c r="E18" s="2" t="s">
        <v>14</v>
      </c>
    </row>
    <row r="19" spans="4:6">
      <c r="D19">
        <f>D18-D17</f>
        <v>9.375E-2</v>
      </c>
      <c r="F19" t="s">
        <v>15</v>
      </c>
    </row>
    <row r="20" spans="4:6">
      <c r="D20">
        <f>D16+D19</f>
        <v>0.43725000000000003</v>
      </c>
    </row>
    <row r="21" spans="4:6">
      <c r="D21">
        <f>3/16</f>
        <v>0.1875</v>
      </c>
      <c r="E2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Lance Jones</dc:creator>
  <cp:keywords/>
  <dc:description/>
  <cp:lastModifiedBy>Isaac Oravec</cp:lastModifiedBy>
  <cp:revision/>
  <dcterms:created xsi:type="dcterms:W3CDTF">2019-02-07T19:51:10Z</dcterms:created>
  <dcterms:modified xsi:type="dcterms:W3CDTF">2026-01-01T01:16:42Z</dcterms:modified>
  <cp:category/>
  <cp:contentStatus/>
</cp:coreProperties>
</file>